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08ABB2CD-1A19-4921-882F-843C9E20FA6B}" xr6:coauthVersionLast="47" xr6:coauthVersionMax="47" xr10:uidLastSave="{00000000-0000-0000-0000-000000000000}"/>
  <bookViews>
    <workbookView xWindow="28680" yWindow="-120" windowWidth="29040" windowHeight="17520" activeTab="3" xr2:uid="{5319F2F2-47C1-436A-B986-4301F4D6F569}"/>
  </bookViews>
  <sheets>
    <sheet name="Sheet1 (4)" sheetId="4" r:id="rId1"/>
    <sheet name="Sheet1 (3)" sheetId="3" r:id="rId2"/>
    <sheet name="Sheet1 (2)" sheetId="2" r:id="rId3"/>
    <sheet name="Sheet1" sheetId="1" r:id="rId4"/>
  </sheets>
  <definedNames>
    <definedName name="_xlnm._FilterDatabase" localSheetId="3" hidden="1">Sheet1!$B$3:$J$3</definedName>
    <definedName name="_xlnm._FilterDatabase" localSheetId="2" hidden="1">'Sheet1 (2)'!$A$1:$D$1</definedName>
    <definedName name="_xlnm._FilterDatabase" localSheetId="1" hidden="1">'Sheet1 (3)'!$A$1:$D$1</definedName>
    <definedName name="_xlnm._FilterDatabase" localSheetId="0" hidden="1">'Sheet1 (4)'!$B$1:$I$1</definedName>
    <definedName name="_xlchart.v1.0" hidden="1">'Sheet1 (4)'!$B$2:$B$21</definedName>
    <definedName name="_xlchart.v1.1" hidden="1">'Sheet1 (3)'!$B$2:$B$21</definedName>
    <definedName name="_xlchart.v1.2" hidden="1">Sheet1!$B$4:$B$23</definedName>
    <definedName name="_xlchart.v1.3" hidden="1">Sheet1!$B$2:$B$21</definedName>
    <definedName name="h" localSheetId="0">'Sheet1 (4)'!$G$2</definedName>
    <definedName name="h">Sheet1!$H$4</definedName>
    <definedName name="k" localSheetId="0">'Sheet1 (4)'!$G$1</definedName>
    <definedName name="k">Sheet1!$H$3</definedName>
    <definedName name="X_ave" localSheetId="0">'Sheet1 (4)'!$B$23</definedName>
    <definedName name="X_ave">Sheet1!$B$25</definedName>
    <definedName name="X_stdev_p" localSheetId="0">'Sheet1 (4)'!$B$24</definedName>
    <definedName name="X_stdev_p">Sheet1!$B$26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B24" i="4"/>
  <c r="C18" i="4" s="1"/>
  <c r="B23" i="4"/>
  <c r="E21" i="4"/>
  <c r="C21" i="4"/>
  <c r="E20" i="4"/>
  <c r="C20" i="4"/>
  <c r="E19" i="4"/>
  <c r="C19" i="4"/>
  <c r="E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E2" i="4"/>
  <c r="C2" i="4"/>
  <c r="C23" i="4" s="1"/>
  <c r="E1" i="4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26" i="1"/>
  <c r="B25" i="1"/>
  <c r="C11" i="1" s="1"/>
  <c r="B25" i="3"/>
  <c r="B24" i="3"/>
  <c r="B21" i="3" s="1"/>
  <c r="C10" i="1" l="1"/>
  <c r="C9" i="1"/>
  <c r="C6" i="1"/>
  <c r="C22" i="1"/>
  <c r="C21" i="1"/>
  <c r="C20" i="1"/>
  <c r="C19" i="1"/>
  <c r="C18" i="1"/>
  <c r="C8" i="1"/>
  <c r="C7" i="1"/>
  <c r="C17" i="1"/>
  <c r="C5" i="1"/>
  <c r="D5" i="1" s="1"/>
  <c r="E5" i="1" s="1"/>
  <c r="C15" i="1"/>
  <c r="C13" i="1"/>
  <c r="C4" i="1"/>
  <c r="C12" i="1"/>
  <c r="C16" i="1"/>
  <c r="C14" i="1"/>
  <c r="C23" i="1"/>
  <c r="C24" i="4"/>
  <c r="B14" i="3"/>
  <c r="B19" i="3"/>
  <c r="B2" i="3"/>
  <c r="B7" i="3"/>
  <c r="B11" i="3"/>
  <c r="B15" i="3"/>
  <c r="B6" i="3"/>
  <c r="B10" i="3"/>
  <c r="B18" i="3"/>
  <c r="B3" i="3"/>
  <c r="B4" i="3"/>
  <c r="B8" i="3"/>
  <c r="B12" i="3"/>
  <c r="B16" i="3"/>
  <c r="B20" i="3"/>
  <c r="B5" i="3"/>
  <c r="B9" i="3"/>
  <c r="B13" i="3"/>
  <c r="B17" i="3"/>
  <c r="D6" i="1" l="1"/>
  <c r="D7" i="1" s="1"/>
  <c r="C26" i="1"/>
  <c r="C25" i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E6" i="1" l="1"/>
  <c r="E7" i="1"/>
  <c r="D8" i="1"/>
  <c r="D9" i="1" l="1"/>
  <c r="E8" i="1"/>
  <c r="D10" i="1" l="1"/>
  <c r="E9" i="1"/>
  <c r="D11" i="1" l="1"/>
  <c r="E10" i="1"/>
  <c r="D12" i="1" l="1"/>
  <c r="E11" i="1"/>
  <c r="D13" i="1" l="1"/>
  <c r="E12" i="1"/>
  <c r="D14" i="1" l="1"/>
  <c r="E13" i="1"/>
  <c r="D15" i="1" l="1"/>
  <c r="E14" i="1"/>
  <c r="D16" i="1" l="1"/>
  <c r="E15" i="1"/>
  <c r="D17" i="1" l="1"/>
  <c r="E16" i="1"/>
  <c r="D18" i="1" l="1"/>
  <c r="E17" i="1"/>
  <c r="D19" i="1" l="1"/>
  <c r="E18" i="1"/>
  <c r="D20" i="1" l="1"/>
  <c r="E19" i="1"/>
  <c r="D21" i="1" l="1"/>
  <c r="E20" i="1"/>
  <c r="D22" i="1" l="1"/>
  <c r="E21" i="1"/>
  <c r="D23" i="1" l="1"/>
  <c r="E23" i="1" s="1"/>
  <c r="E22" i="1"/>
</calcChain>
</file>

<file path=xl/sharedStrings.xml><?xml version="1.0" encoding="utf-8"?>
<sst xmlns="http://schemas.openxmlformats.org/spreadsheetml/2006/main" count="29" uniqueCount="18">
  <si>
    <t>X</t>
  </si>
  <si>
    <t>Z</t>
  </si>
  <si>
    <t>Sh</t>
  </si>
  <si>
    <t>SI</t>
  </si>
  <si>
    <t>w</t>
    <phoneticPr fontId="1"/>
  </si>
  <si>
    <t>AVERAGE</t>
    <phoneticPr fontId="1"/>
  </si>
  <si>
    <t>STDDEV</t>
    <phoneticPr fontId="1"/>
  </si>
  <si>
    <t>パラメータ k（許容変化量</t>
    <phoneticPr fontId="1"/>
  </si>
  <si>
    <t>閾値 h</t>
    <phoneticPr fontId="1"/>
  </si>
  <si>
    <t>平均</t>
    <rPh sb="0" eb="2">
      <t>ヘイキン</t>
    </rPh>
    <phoneticPr fontId="1"/>
  </si>
  <si>
    <t>標準偏差</t>
    <rPh sb="0" eb="2">
      <t>ヒョウジュン</t>
    </rPh>
    <rPh sb="2" eb="4">
      <t>ヘンサ</t>
    </rPh>
    <phoneticPr fontId="1"/>
  </si>
  <si>
    <t>CUSUM (正の偏差)</t>
    <phoneticPr fontId="1"/>
  </si>
  <si>
    <t>Zスコア (標準化)</t>
    <rPh sb="6" eb="9">
      <t>ヒョウジュンカ</t>
    </rPh>
    <phoneticPr fontId="1"/>
  </si>
  <si>
    <t>判定結果</t>
    <rPh sb="0" eb="2">
      <t>ハンテイ</t>
    </rPh>
    <rPh sb="2" eb="4">
      <t>ケッカ</t>
    </rPh>
    <phoneticPr fontId="1"/>
  </si>
  <si>
    <t>許容変化量 k</t>
    <phoneticPr fontId="1"/>
  </si>
  <si>
    <t>CUSUM法 異常検知デモ</t>
    <phoneticPr fontId="1"/>
  </si>
  <si>
    <t>出典</t>
    <rPh sb="0" eb="2">
      <t>シュッテン</t>
    </rPh>
    <phoneticPr fontId="1"/>
  </si>
  <si>
    <t>https://en.wikipedia.org/wiki/CUSUM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</si>
</sst>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3" formatCode="0.00_ "/>
    <numFmt numFmtId="184" formatCode="0.00000_ "/>
    <numFmt numFmtId="186" formatCode="0.0000_ "/>
  </numFmts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u/>
      <sz val="11"/>
      <color theme="10"/>
      <name val="メイリオ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right"/>
    </xf>
    <xf numFmtId="183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184" fontId="0" fillId="0" borderId="0" xfId="0" applyNumberFormat="1">
      <alignment vertical="center"/>
    </xf>
    <xf numFmtId="184" fontId="0" fillId="0" borderId="0" xfId="0" applyNumberFormat="1" applyAlignment="1">
      <alignment horizontal="center" vertical="center"/>
    </xf>
    <xf numFmtId="186" fontId="0" fillId="6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 sz="1400" b="0" i="0" u="none" strike="noStrike" baseline="0">
                <a:effectLst/>
              </a:rPr>
              <a:t>Excel CUSUM</a:t>
            </a:r>
            <a:r>
              <a:rPr lang="ja-JP" altLang="en-US" sz="1400" b="0" i="0" u="none" strike="noStrike" baseline="0">
                <a:effectLst/>
              </a:rPr>
              <a:t>法 異常検知デモ</a:t>
            </a:r>
            <a:endParaRPr lang="ja-JP" altLang="en-US"/>
          </a:p>
        </c:rich>
      </c:tx>
      <c:layout>
        <c:manualLayout>
          <c:xMode val="edge"/>
          <c:yMode val="edge"/>
          <c:x val="0.24081219794049807"/>
          <c:y val="4.444444444444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89963754530686E-2"/>
          <c:y val="0.16161616161616163"/>
          <c:w val="0.89628136482939635"/>
          <c:h val="0.79393939393939394"/>
        </c:manualLayout>
      </c:layout>
      <c:lineChart>
        <c:grouping val="standard"/>
        <c:varyColors val="0"/>
        <c:ser>
          <c:idx val="0"/>
          <c:order val="0"/>
          <c:tx>
            <c:strRef>
              <c:f>'Sheet1 (4)'!$B$1</c:f>
              <c:strCache>
                <c:ptCount val="1"/>
                <c:pt idx="0">
                  <c:v>X</c:v>
                </c:pt>
              </c:strCache>
            </c:strRef>
          </c:tx>
          <c:spPr>
            <a:ln w="63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val>
            <c:numRef>
              <c:f>'Sheet1 (4)'!$B$2:$B$21</c:f>
              <c:numCache>
                <c:formatCode>General</c:formatCode>
                <c:ptCount val="20"/>
                <c:pt idx="0">
                  <c:v>-0.60206999999999999</c:v>
                </c:pt>
                <c:pt idx="1">
                  <c:v>-0.85543000000000002</c:v>
                </c:pt>
                <c:pt idx="2">
                  <c:v>0.40839999999999999</c:v>
                </c:pt>
                <c:pt idx="3">
                  <c:v>0.60292000000000001</c:v>
                </c:pt>
                <c:pt idx="4">
                  <c:v>0.14554</c:v>
                </c:pt>
                <c:pt idx="5">
                  <c:v>-0.11812</c:v>
                </c:pt>
                <c:pt idx="6">
                  <c:v>-0.22425</c:v>
                </c:pt>
                <c:pt idx="7">
                  <c:v>-0.25985000000000003</c:v>
                </c:pt>
                <c:pt idx="8">
                  <c:v>-0.26579000000000003</c:v>
                </c:pt>
                <c:pt idx="9">
                  <c:v>0.70213000000000003</c:v>
                </c:pt>
                <c:pt idx="10">
                  <c:v>0.32766000000000001</c:v>
                </c:pt>
                <c:pt idx="11">
                  <c:v>0.55666000000000004</c:v>
                </c:pt>
                <c:pt idx="12">
                  <c:v>0.50527999999999995</c:v>
                </c:pt>
                <c:pt idx="13">
                  <c:v>0.62256</c:v>
                </c:pt>
                <c:pt idx="14">
                  <c:v>0.21262</c:v>
                </c:pt>
                <c:pt idx="15">
                  <c:v>0.36576999999999998</c:v>
                </c:pt>
                <c:pt idx="16">
                  <c:v>0.85272999999999999</c:v>
                </c:pt>
                <c:pt idx="17">
                  <c:v>1.0159</c:v>
                </c:pt>
                <c:pt idx="18">
                  <c:v>0.53493999999999997</c:v>
                </c:pt>
                <c:pt idx="19">
                  <c:v>1.4023000000000001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A-45B3-A816-BECD794DA140}"/>
            </c:ext>
          </c:extLst>
        </c:ser>
        <c:ser>
          <c:idx val="1"/>
          <c:order val="1"/>
          <c:tx>
            <c:strRef>
              <c:f>'Sheet1 (4)'!$D$1</c:f>
              <c:strCache>
                <c:ptCount val="1"/>
                <c:pt idx="0">
                  <c:v>CUSUM (正の偏差)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3175">
                <a:noFill/>
              </a:ln>
              <a:effectLst/>
            </c:spPr>
          </c:marker>
          <c:dPt>
            <c:idx val="19"/>
            <c:marker>
              <c:symbol val="circle"/>
              <c:size val="5"/>
              <c:spPr>
                <a:solidFill>
                  <a:srgbClr val="0070C0"/>
                </a:solidFill>
                <a:ln w="317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3A-45B3-A816-BECD794DA140}"/>
              </c:ext>
            </c:extLst>
          </c:dPt>
          <c:val>
            <c:numRef>
              <c:f>'Sheet1 (4)'!$D$2:$D$21</c:f>
              <c:numCache>
                <c:formatCode>0.00000_ 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0.27086804645341195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0.45456091693931561</c:v>
                </c:pt>
                <c:pt idx="10">
                  <c:v>0.21576965959321323</c:v>
                </c:pt>
                <c:pt idx="11">
                  <c:v>0.40098472561443199</c:v>
                </c:pt>
                <c:pt idx="12">
                  <c:v>0.49106684449760268</c:v>
                </c:pt>
                <c:pt idx="13">
                  <c:v>0.79829945073675346</c:v>
                </c:pt>
                <c:pt idx="14">
                  <c:v>0.34650519146848247</c:v>
                </c:pt>
                <c:pt idx="15">
                  <c:v>0.17827673317709011</c:v>
                </c:pt>
                <c:pt idx="16">
                  <c:v>0.91168198330032968</c:v>
                </c:pt>
                <c:pt idx="17">
                  <c:v>1.9472056254927645</c:v>
                </c:pt>
                <c:pt idx="18">
                  <c:v>2.0922048952539911</c:v>
                </c:pt>
                <c:pt idx="19">
                  <c:v>3.8431697747788842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3A-45B3-A816-BECD794DA140}"/>
            </c:ext>
          </c:extLst>
        </c:ser>
        <c:ser>
          <c:idx val="2"/>
          <c:order val="2"/>
          <c:tx>
            <c:strRef>
              <c:f>'Sheet1 (4)'!$E$1</c:f>
              <c:strCache>
                <c:ptCount val="1"/>
                <c:pt idx="0">
                  <c:v>閾値 h</c:v>
                </c:pt>
              </c:strCache>
            </c:strRef>
          </c:tx>
          <c:spPr>
            <a:ln w="158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'Sheet1 (4)'!$E$2:$E$21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3A-45B3-A816-BECD794DA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47280"/>
        <c:axId val="171051600"/>
      </c:lineChart>
      <c:catAx>
        <c:axId val="17104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171051600"/>
        <c:crosses val="autoZero"/>
        <c:auto val="1"/>
        <c:lblAlgn val="ctr"/>
        <c:lblOffset val="100"/>
        <c:noMultiLvlLbl val="0"/>
      </c:catAx>
      <c:valAx>
        <c:axId val="1710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17104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48245306235126"/>
          <c:y val="5.2019724807126383E-2"/>
          <c:w val="0.2645751633986928"/>
          <c:h val="0.1807272727272727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CUSUM </a:t>
            </a:r>
            <a:r>
              <a:rPr lang="ja-JP" altLang="en-US"/>
              <a:t>例</a:t>
            </a:r>
          </a:p>
        </c:rich>
      </c:tx>
      <c:layout>
        <c:manualLayout>
          <c:xMode val="edge"/>
          <c:yMode val="edge"/>
          <c:x val="0.3372707786526683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20106481481481481"/>
          <c:w val="0.92774825021872265"/>
          <c:h val="0.74800925925925921"/>
        </c:manualLayout>
      </c:layout>
      <c:lineChart>
        <c:grouping val="standard"/>
        <c:varyColors val="0"/>
        <c:ser>
          <c:idx val="0"/>
          <c:order val="0"/>
          <c:tx>
            <c:strRef>
              <c:f>'Sheet1 (3)'!$A$1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'Sheet1 (3)'!$A$2:$A$21</c:f>
              <c:numCache>
                <c:formatCode>General</c:formatCode>
                <c:ptCount val="20"/>
                <c:pt idx="0">
                  <c:v>-0.60206999999999999</c:v>
                </c:pt>
                <c:pt idx="1">
                  <c:v>-0.85543000000000002</c:v>
                </c:pt>
                <c:pt idx="2">
                  <c:v>0.40839999999999999</c:v>
                </c:pt>
                <c:pt idx="3">
                  <c:v>0.60292000000000001</c:v>
                </c:pt>
                <c:pt idx="4">
                  <c:v>0.14554</c:v>
                </c:pt>
                <c:pt idx="5">
                  <c:v>-0.11812</c:v>
                </c:pt>
                <c:pt idx="6">
                  <c:v>-0.22425</c:v>
                </c:pt>
                <c:pt idx="7">
                  <c:v>-0.25985000000000003</c:v>
                </c:pt>
                <c:pt idx="8">
                  <c:v>-0.26579000000000003</c:v>
                </c:pt>
                <c:pt idx="9">
                  <c:v>0.70213000000000003</c:v>
                </c:pt>
                <c:pt idx="10">
                  <c:v>0.32766000000000001</c:v>
                </c:pt>
                <c:pt idx="11">
                  <c:v>0.55666000000000004</c:v>
                </c:pt>
                <c:pt idx="12">
                  <c:v>0.50527999999999995</c:v>
                </c:pt>
                <c:pt idx="13">
                  <c:v>0.62256</c:v>
                </c:pt>
                <c:pt idx="14">
                  <c:v>0.21262</c:v>
                </c:pt>
                <c:pt idx="15">
                  <c:v>0.36576999999999998</c:v>
                </c:pt>
                <c:pt idx="16">
                  <c:v>0.85272999999999999</c:v>
                </c:pt>
                <c:pt idx="17">
                  <c:v>1.0159</c:v>
                </c:pt>
                <c:pt idx="18">
                  <c:v>0.53493999999999997</c:v>
                </c:pt>
                <c:pt idx="19">
                  <c:v>1.4023000000000001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1-487D-852B-DC5A4E1BED62}"/>
            </c:ext>
          </c:extLst>
        </c:ser>
        <c:ser>
          <c:idx val="1"/>
          <c:order val="1"/>
          <c:tx>
            <c:strRef>
              <c:f>'Sheet1 (3)'!$C$1</c:f>
              <c:strCache>
                <c:ptCount val="1"/>
                <c:pt idx="0">
                  <c:v>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'Sheet1 (3)'!$C$2:$C$21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0.10719837387082989</c:v>
                </c:pt>
                <c:pt idx="3">
                  <c:v>0.57456142032424184</c:v>
                </c:pt>
                <c:pt idx="4">
                  <c:v>0.19505978476129884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0.65105591693931564</c:v>
                </c:pt>
                <c:pt idx="10">
                  <c:v>0.60875965959321332</c:v>
                </c:pt>
                <c:pt idx="11">
                  <c:v>0.99046972561443203</c:v>
                </c:pt>
                <c:pt idx="12">
                  <c:v>1.2770468444976026</c:v>
                </c:pt>
                <c:pt idx="13">
                  <c:v>1.7807744507367533</c:v>
                </c:pt>
                <c:pt idx="14">
                  <c:v>1.5254751914684823</c:v>
                </c:pt>
                <c:pt idx="15">
                  <c:v>1.55374173317709</c:v>
                </c:pt>
                <c:pt idx="16">
                  <c:v>2.4836419833003291</c:v>
                </c:pt>
                <c:pt idx="17">
                  <c:v>3.715660625492764</c:v>
                </c:pt>
                <c:pt idx="18">
                  <c:v>4.0571548952539906</c:v>
                </c:pt>
                <c:pt idx="19">
                  <c:v>6.0046147747788838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1-487D-852B-DC5A4E1BED62}"/>
            </c:ext>
          </c:extLst>
        </c:ser>
        <c:ser>
          <c:idx val="2"/>
          <c:order val="2"/>
          <c:tx>
            <c:strRef>
              <c:f>'Sheet1 (3)'!$D$1</c:f>
              <c:strCache>
                <c:ptCount val="1"/>
                <c:pt idx="0">
                  <c:v>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'Sheet1 (3)'!$D$2:$D$21</c:f>
              <c:numCache>
                <c:formatCode>General</c:formatCode>
                <c:ptCount val="20"/>
                <c:pt idx="0">
                  <c:v>0</c:v>
                </c:pt>
                <c:pt idx="1">
                  <c:v>2.0328536421174728</c:v>
                </c:pt>
                <c:pt idx="2">
                  <c:v>1.7256552682466428</c:v>
                </c:pt>
                <c:pt idx="3">
                  <c:v>1.0582922217932307</c:v>
                </c:pt>
                <c:pt idx="4">
                  <c:v>1.2377938573561735</c:v>
                </c:pt>
                <c:pt idx="5">
                  <c:v>1.9054767471506793</c:v>
                </c:pt>
                <c:pt idx="6">
                  <c:v>2.7696652749319699</c:v>
                </c:pt>
                <c:pt idx="7">
                  <c:v>3.6997691962149055</c:v>
                </c:pt>
                <c:pt idx="8">
                  <c:v>4.6408713601214302</c:v>
                </c:pt>
                <c:pt idx="9">
                  <c:v>3.7898154431821145</c:v>
                </c:pt>
                <c:pt idx="10">
                  <c:v>3.6321117005282169</c:v>
                </c:pt>
                <c:pt idx="11">
                  <c:v>3.050401634506998</c:v>
                </c:pt>
                <c:pt idx="12">
                  <c:v>2.5638245156238271</c:v>
                </c:pt>
                <c:pt idx="13">
                  <c:v>1.8600969093846762</c:v>
                </c:pt>
                <c:pt idx="14">
                  <c:v>1.915396168652947</c:v>
                </c:pt>
                <c:pt idx="15">
                  <c:v>1.6871296269443392</c:v>
                </c:pt>
                <c:pt idx="16">
                  <c:v>0.55722937682109974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1-487D-852B-DC5A4E1BE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56400"/>
        <c:axId val="171056880"/>
      </c:lineChart>
      <c:catAx>
        <c:axId val="17105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056880"/>
        <c:crosses val="autoZero"/>
        <c:auto val="1"/>
        <c:lblAlgn val="ctr"/>
        <c:lblOffset val="100"/>
        <c:noMultiLvlLbl val="0"/>
      </c:catAx>
      <c:valAx>
        <c:axId val="1710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05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1526684164479"/>
          <c:y val="2.4721493146689998E-2"/>
          <c:w val="0.10795844269466316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 sz="1400" b="0" i="0" u="none" strike="noStrike" baseline="0">
                <a:effectLst/>
              </a:rPr>
              <a:t>CUSUM</a:t>
            </a:r>
            <a:r>
              <a:rPr lang="ja-JP" altLang="en-US" sz="1400" b="0" i="0" u="none" strike="noStrike" baseline="0">
                <a:effectLst/>
              </a:rPr>
              <a:t>法 異常検知</a:t>
            </a:r>
            <a:endParaRPr lang="ja-JP" altLang="en-US"/>
          </a:p>
        </c:rich>
      </c:tx>
      <c:layout>
        <c:manualLayout>
          <c:xMode val="edge"/>
          <c:yMode val="edge"/>
          <c:x val="0.24081229692635689"/>
          <c:y val="4.04040404040404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6289963754530686E-2"/>
          <c:y val="0.16161616161616163"/>
          <c:w val="0.89628136482939635"/>
          <c:h val="0.79393939393939394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X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val>
            <c:numRef>
              <c:f>Sheet1!$B$4:$B$23</c:f>
              <c:numCache>
                <c:formatCode>General</c:formatCode>
                <c:ptCount val="20"/>
                <c:pt idx="0">
                  <c:v>-0.60206999999999999</c:v>
                </c:pt>
                <c:pt idx="1">
                  <c:v>-0.85543000000000002</c:v>
                </c:pt>
                <c:pt idx="2">
                  <c:v>0.40839999999999999</c:v>
                </c:pt>
                <c:pt idx="3">
                  <c:v>0.60292000000000001</c:v>
                </c:pt>
                <c:pt idx="4">
                  <c:v>0.14554</c:v>
                </c:pt>
                <c:pt idx="5">
                  <c:v>-0.11812</c:v>
                </c:pt>
                <c:pt idx="6">
                  <c:v>-0.22425</c:v>
                </c:pt>
                <c:pt idx="7">
                  <c:v>-0.25985000000000003</c:v>
                </c:pt>
                <c:pt idx="8">
                  <c:v>-0.26579000000000003</c:v>
                </c:pt>
                <c:pt idx="9">
                  <c:v>0.70213000000000003</c:v>
                </c:pt>
                <c:pt idx="10">
                  <c:v>0.32766000000000001</c:v>
                </c:pt>
                <c:pt idx="11">
                  <c:v>0.55666000000000004</c:v>
                </c:pt>
                <c:pt idx="12">
                  <c:v>0.50527999999999995</c:v>
                </c:pt>
                <c:pt idx="13">
                  <c:v>0.62256</c:v>
                </c:pt>
                <c:pt idx="14">
                  <c:v>0.21262</c:v>
                </c:pt>
                <c:pt idx="15">
                  <c:v>0.36576999999999998</c:v>
                </c:pt>
                <c:pt idx="16">
                  <c:v>0.85272999999999999</c:v>
                </c:pt>
                <c:pt idx="17">
                  <c:v>1.0159</c:v>
                </c:pt>
                <c:pt idx="18">
                  <c:v>0.53493999999999997</c:v>
                </c:pt>
                <c:pt idx="19">
                  <c:v>1.4023000000000001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2-43A7-9D4B-46A80F7E93CC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CUSUM (正の偏差)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">
                <a:noFill/>
              </a:ln>
              <a:effectLst/>
            </c:spPr>
          </c:marker>
          <c:val>
            <c:numRef>
              <c:f>Sheet1!$D$4:$D$23</c:f>
              <c:numCache>
                <c:formatCode>0.00000_ 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6.7363046453411957E-2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0.25105591693931562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0.10372760623915078</c:v>
                </c:pt>
                <c:pt idx="14">
                  <c:v>0</c:v>
                </c:pt>
                <c:pt idx="15">
                  <c:v>0</c:v>
                </c:pt>
                <c:pt idx="16">
                  <c:v>0.52990025012323949</c:v>
                </c:pt>
                <c:pt idx="17">
                  <c:v>1.3619188923156744</c:v>
                </c:pt>
                <c:pt idx="18">
                  <c:v>1.3034131620769007</c:v>
                </c:pt>
                <c:pt idx="19">
                  <c:v>2.8508730416017936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2-43A7-9D4B-46A80F7E93CC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閾値 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Sheet1!$F$4:$F$23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2-43A7-9D4B-46A80F7E9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47280"/>
        <c:axId val="171051600"/>
      </c:lineChart>
      <c:catAx>
        <c:axId val="17104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171051600"/>
        <c:crosses val="autoZero"/>
        <c:auto val="1"/>
        <c:lblAlgn val="ctr"/>
        <c:lblOffset val="100"/>
        <c:noMultiLvlLbl val="0"/>
      </c:catAx>
      <c:valAx>
        <c:axId val="171051600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171047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20486159743375"/>
          <c:y val="9.2423765211166783E-2"/>
          <c:w val="0.30834073459253214"/>
          <c:h val="0.16872727272727273"/>
        </c:manualLayout>
      </c:layout>
      <c:overlay val="0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X</a:t>
            </a:r>
            <a:r>
              <a:rPr lang="ja-JP" altLang="en-US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のヒストグラム</a:t>
            </a:r>
          </a:p>
        </cx:rich>
      </cx:tx>
    </cx:title>
    <cx:plotArea>
      <cx:plotAreaRegion>
        <cx:series layoutId="clusteredColumn" uniqueId="{10BEAFCD-4923-4BAC-8B03-71579859EC40}"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B87AFD3-7F6B-4300-8DE2-A6B26BD8508F}">
          <cx:dataId val="0"/>
          <cx:layoutPr>
            <cx:binning intervalClosed="r">
              <cx:binSize val="0.4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X</a:t>
            </a:r>
            <a:r>
              <a:rPr lang="ja-JP" altLang="en-US"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のヒストグラム</a:t>
            </a:r>
          </a:p>
        </cx:rich>
      </cx:tx>
    </cx:title>
    <cx:plotArea>
      <cx:plotAreaRegion>
        <cx:series layoutId="clusteredColumn" uniqueId="{10BEAFCD-4923-4BAC-8B03-71579859EC40}"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2</xdr:row>
      <xdr:rowOff>219075</xdr:rowOff>
    </xdr:from>
    <xdr:to>
      <xdr:col>7</xdr:col>
      <xdr:colOff>1457324</xdr:colOff>
      <xdr:row>16</xdr:row>
      <xdr:rowOff>28575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976E20-D652-47FE-98CF-E906F24E6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24</xdr:row>
      <xdr:rowOff>133349</xdr:rowOff>
    </xdr:from>
    <xdr:to>
      <xdr:col>2</xdr:col>
      <xdr:colOff>466725</xdr:colOff>
      <xdr:row>33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8A8216F2-CF68-4B4F-962D-2A6426F7FE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5848349"/>
              <a:ext cx="2571750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300037</xdr:colOff>
      <xdr:row>4</xdr:row>
      <xdr:rowOff>152400</xdr:rowOff>
    </xdr:from>
    <xdr:to>
      <xdr:col>10</xdr:col>
      <xdr:colOff>300037</xdr:colOff>
      <xdr:row>16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BF979FB-B985-407E-A7B6-A1185288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17</xdr:row>
      <xdr:rowOff>66675</xdr:rowOff>
    </xdr:from>
    <xdr:to>
      <xdr:col>10</xdr:col>
      <xdr:colOff>266700</xdr:colOff>
      <xdr:row>28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92A0FDC5-E7C8-4D01-B75A-80F33EDDEC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700" y="411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123823</xdr:colOff>
      <xdr:row>6</xdr:row>
      <xdr:rowOff>228600</xdr:rowOff>
    </xdr:from>
    <xdr:to>
      <xdr:col>9</xdr:col>
      <xdr:colOff>733424</xdr:colOff>
      <xdr:row>20</xdr:row>
      <xdr:rowOff>38100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03D05C5-AE2A-8628-44EF-C7943E74A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26</xdr:row>
      <xdr:rowOff>133349</xdr:rowOff>
    </xdr:from>
    <xdr:to>
      <xdr:col>2</xdr:col>
      <xdr:colOff>466725</xdr:colOff>
      <xdr:row>35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E46C5771-C73E-BF4B-323E-A3D686BE7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5848349"/>
              <a:ext cx="2571750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n.wikipedia.org/wiki/CU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027A-735E-49FF-B1EA-9C680CC7AB91}">
  <dimension ref="A1:G24"/>
  <sheetViews>
    <sheetView showGridLines="0" workbookViewId="0">
      <selection activeCell="C2" sqref="C2"/>
    </sheetView>
  </sheetViews>
  <sheetFormatPr defaultRowHeight="18.75" x14ac:dyDescent="0.45"/>
  <cols>
    <col min="2" max="2" width="16.5546875" customWidth="1"/>
    <col min="3" max="3" width="14.6640625" bestFit="1" customWidth="1"/>
    <col min="4" max="4" width="20.5546875" bestFit="1" customWidth="1"/>
    <col min="5" max="5" width="8.109375" customWidth="1"/>
    <col min="6" max="6" width="22.44140625" bestFit="1" customWidth="1"/>
    <col min="7" max="7" width="24" customWidth="1"/>
    <col min="8" max="9" width="17.44140625" customWidth="1"/>
  </cols>
  <sheetData>
    <row r="1" spans="2:7" x14ac:dyDescent="0.45">
      <c r="B1" s="4" t="s">
        <v>0</v>
      </c>
      <c r="C1" s="4" t="s">
        <v>12</v>
      </c>
      <c r="D1" s="4" t="s">
        <v>11</v>
      </c>
      <c r="E1" s="8" t="str">
        <f>F2</f>
        <v>閾値 h</v>
      </c>
      <c r="F1" s="5" t="s">
        <v>7</v>
      </c>
      <c r="G1" s="2">
        <v>0.5</v>
      </c>
    </row>
    <row r="2" spans="2:7" x14ac:dyDescent="0.45">
      <c r="B2">
        <v>-0.60206999999999999</v>
      </c>
      <c r="C2" s="12">
        <f>(B2-$B$23)/$B$24</f>
        <v>-1.6637434146574535</v>
      </c>
      <c r="D2" s="12">
        <v>0</v>
      </c>
      <c r="E2" s="7">
        <f>$G$2</f>
        <v>2</v>
      </c>
      <c r="F2" s="6" t="s">
        <v>8</v>
      </c>
      <c r="G2" s="3">
        <v>2</v>
      </c>
    </row>
    <row r="3" spans="2:7" x14ac:dyDescent="0.45">
      <c r="B3">
        <v>-0.85543000000000002</v>
      </c>
      <c r="C3" s="12">
        <f>(B3-$B$23)/$B$24</f>
        <v>-2.1328536421174729</v>
      </c>
      <c r="D3" s="12">
        <f>MAX(0, D2 + (C3 - $B$23))</f>
        <v>0</v>
      </c>
      <c r="E3" s="7">
        <f t="shared" ref="E3:E21" si="0">$G$2</f>
        <v>2</v>
      </c>
    </row>
    <row r="4" spans="2:7" x14ac:dyDescent="0.45">
      <c r="B4">
        <v>0.40839999999999999</v>
      </c>
      <c r="C4" s="12">
        <f>(B4-$B$23)/$B$24</f>
        <v>0.2071983738708299</v>
      </c>
      <c r="D4" s="12">
        <f>MAX(0, D3 + (C4 - $B$23))</f>
        <v>0</v>
      </c>
      <c r="E4" s="7">
        <f t="shared" si="0"/>
        <v>2</v>
      </c>
    </row>
    <row r="5" spans="2:7" x14ac:dyDescent="0.45">
      <c r="B5">
        <v>0.60292000000000001</v>
      </c>
      <c r="C5" s="12">
        <f>(B5-$B$23)/$B$24</f>
        <v>0.56736304645341196</v>
      </c>
      <c r="D5" s="12">
        <f>MAX(0, D4 + (C5 - $B$23))</f>
        <v>0.27086804645341195</v>
      </c>
      <c r="E5" s="7">
        <f t="shared" si="0"/>
        <v>2</v>
      </c>
    </row>
    <row r="6" spans="2:7" x14ac:dyDescent="0.45">
      <c r="B6">
        <v>0.14554</v>
      </c>
      <c r="C6" s="12">
        <f>(B6-$B$23)/$B$24</f>
        <v>-0.279501635562943</v>
      </c>
      <c r="D6" s="12">
        <f>MAX(0, D5 + (C6 - $B$23))</f>
        <v>0</v>
      </c>
      <c r="E6" s="7">
        <f t="shared" si="0"/>
        <v>2</v>
      </c>
    </row>
    <row r="7" spans="2:7" x14ac:dyDescent="0.45">
      <c r="B7">
        <v>-0.11812</v>
      </c>
      <c r="C7" s="12">
        <f>(B7-$B$23)/$B$24</f>
        <v>-0.76768288979450572</v>
      </c>
      <c r="D7" s="12">
        <f>MAX(0, D6 + (C7 - $B$23))</f>
        <v>0</v>
      </c>
      <c r="E7" s="7">
        <f t="shared" si="0"/>
        <v>2</v>
      </c>
    </row>
    <row r="8" spans="2:7" x14ac:dyDescent="0.45">
      <c r="B8">
        <v>-0.22425</v>
      </c>
      <c r="C8" s="12">
        <f>(B8-$B$23)/$B$24</f>
        <v>-0.96418852778129083</v>
      </c>
      <c r="D8" s="12">
        <f>MAX(0, D7 + (C8 - $B$23))</f>
        <v>0</v>
      </c>
      <c r="E8" s="7">
        <f t="shared" si="0"/>
        <v>2</v>
      </c>
    </row>
    <row r="9" spans="2:7" x14ac:dyDescent="0.45">
      <c r="B9">
        <v>-0.25985000000000003</v>
      </c>
      <c r="C9" s="12">
        <f>(B9-$B$23)/$B$24</f>
        <v>-1.0301039212829357</v>
      </c>
      <c r="D9" s="12">
        <f>MAX(0, D8 + (C9 - $B$23))</f>
        <v>0</v>
      </c>
      <c r="E9" s="7">
        <f t="shared" si="0"/>
        <v>2</v>
      </c>
    </row>
    <row r="10" spans="2:7" x14ac:dyDescent="0.45">
      <c r="B10">
        <v>-0.26579000000000003</v>
      </c>
      <c r="C10" s="12">
        <f>(B10-$B$23)/$B$24</f>
        <v>-1.0411021639065245</v>
      </c>
      <c r="D10" s="12">
        <f>MAX(0, D9 + (C10 - $B$23))</f>
        <v>0</v>
      </c>
      <c r="E10" s="7">
        <f t="shared" si="0"/>
        <v>2</v>
      </c>
    </row>
    <row r="11" spans="2:7" x14ac:dyDescent="0.45">
      <c r="B11">
        <v>0.70213000000000003</v>
      </c>
      <c r="C11" s="12">
        <f>(B11-$B$23)/$B$24</f>
        <v>0.75105591693931562</v>
      </c>
      <c r="D11" s="12">
        <f>MAX(0, D10 + (C11 - $B$23))</f>
        <v>0.45456091693931561</v>
      </c>
      <c r="E11" s="7">
        <f t="shared" si="0"/>
        <v>2</v>
      </c>
    </row>
    <row r="12" spans="2:7" x14ac:dyDescent="0.45">
      <c r="B12">
        <v>0.32766000000000001</v>
      </c>
      <c r="C12" s="12">
        <f>(B12-$B$23)/$B$24</f>
        <v>5.770374265389764E-2</v>
      </c>
      <c r="D12" s="12">
        <f>MAX(0, D11 + (C12 - $B$23))</f>
        <v>0.21576965959321323</v>
      </c>
      <c r="E12" s="7">
        <f t="shared" si="0"/>
        <v>2</v>
      </c>
    </row>
    <row r="13" spans="2:7" x14ac:dyDescent="0.45">
      <c r="B13">
        <v>0.55666000000000004</v>
      </c>
      <c r="C13" s="12">
        <f>(B13-$B$23)/$B$24</f>
        <v>0.48171006602121874</v>
      </c>
      <c r="D13" s="12">
        <f>MAX(0, D12 + (C13 - $B$23))</f>
        <v>0.40098472561443199</v>
      </c>
      <c r="E13" s="7">
        <f t="shared" si="0"/>
        <v>2</v>
      </c>
    </row>
    <row r="14" spans="2:7" x14ac:dyDescent="0.45">
      <c r="B14">
        <v>0.50527999999999995</v>
      </c>
      <c r="C14" s="12">
        <f>(B14-$B$23)/$B$24</f>
        <v>0.3865771188831707</v>
      </c>
      <c r="D14" s="12">
        <f>MAX(0, D13 + (C14 - $B$23))</f>
        <v>0.49106684449760268</v>
      </c>
      <c r="E14" s="7">
        <f t="shared" si="0"/>
        <v>2</v>
      </c>
    </row>
    <row r="15" spans="2:7" x14ac:dyDescent="0.45">
      <c r="B15">
        <v>0.62256</v>
      </c>
      <c r="C15" s="12">
        <f>(B15-$B$23)/$B$24</f>
        <v>0.60372760623915078</v>
      </c>
      <c r="D15" s="12">
        <f>MAX(0, D14 + (C15 - $B$23))</f>
        <v>0.79829945073675346</v>
      </c>
      <c r="E15" s="7">
        <f t="shared" si="0"/>
        <v>2</v>
      </c>
    </row>
    <row r="16" spans="2:7" x14ac:dyDescent="0.45">
      <c r="B16">
        <v>0.21262</v>
      </c>
      <c r="C16" s="12">
        <f>(B16-$B$23)/$B$24</f>
        <v>-0.15529925926827098</v>
      </c>
      <c r="D16" s="12">
        <f>MAX(0, D15 + (C16 - $B$23))</f>
        <v>0.34650519146848247</v>
      </c>
      <c r="E16" s="7">
        <f t="shared" si="0"/>
        <v>2</v>
      </c>
    </row>
    <row r="17" spans="1:5" x14ac:dyDescent="0.45">
      <c r="B17">
        <v>0.36576999999999998</v>
      </c>
      <c r="C17" s="12">
        <f>(B17-$B$23)/$B$24</f>
        <v>0.12826654170860766</v>
      </c>
      <c r="D17" s="12">
        <f>MAX(0, D16 + (C17 - $B$23))</f>
        <v>0.17827673317709011</v>
      </c>
      <c r="E17" s="7">
        <f t="shared" si="0"/>
        <v>2</v>
      </c>
    </row>
    <row r="18" spans="1:5" x14ac:dyDescent="0.45">
      <c r="B18">
        <v>0.85272999999999999</v>
      </c>
      <c r="C18" s="12">
        <f>(B18-$B$23)/$B$24</f>
        <v>1.0299002501232395</v>
      </c>
      <c r="D18" s="12">
        <f>MAX(0, D17 + (C18 - $B$23))</f>
        <v>0.91168198330032968</v>
      </c>
      <c r="E18" s="7">
        <f t="shared" si="0"/>
        <v>2</v>
      </c>
    </row>
    <row r="19" spans="1:5" x14ac:dyDescent="0.45">
      <c r="B19">
        <v>1.0159</v>
      </c>
      <c r="C19" s="12">
        <f>(B19-$B$23)/$B$24</f>
        <v>1.3320186421924349</v>
      </c>
      <c r="D19" s="12">
        <f>MAX(0, D18 + (C19 - $B$23))</f>
        <v>1.9472056254927645</v>
      </c>
      <c r="E19" s="7">
        <f t="shared" si="0"/>
        <v>2</v>
      </c>
    </row>
    <row r="20" spans="1:5" x14ac:dyDescent="0.45">
      <c r="B20">
        <v>0.53493999999999997</v>
      </c>
      <c r="C20" s="12">
        <f>(B20-$B$23)/$B$24</f>
        <v>0.44149426976122641</v>
      </c>
      <c r="D20" s="12">
        <f>MAX(0, D19 + (C20 - $B$23))</f>
        <v>2.0922048952539911</v>
      </c>
      <c r="E20" s="7">
        <f t="shared" si="0"/>
        <v>2</v>
      </c>
    </row>
    <row r="21" spans="1:5" x14ac:dyDescent="0.45">
      <c r="B21">
        <v>1.4023000000000001</v>
      </c>
      <c r="C21" s="12">
        <f>(B21-$B$23)/$B$24</f>
        <v>2.0474598795248928</v>
      </c>
      <c r="D21" s="12">
        <f>MAX(0, D20 + (C21 - $B$23))</f>
        <v>3.8431697747788842</v>
      </c>
      <c r="E21" s="7">
        <f t="shared" si="0"/>
        <v>2</v>
      </c>
    </row>
    <row r="23" spans="1:5" x14ac:dyDescent="0.45">
      <c r="A23" s="9" t="s">
        <v>9</v>
      </c>
      <c r="B23" s="10">
        <f>AVERAGE(B2:B21)</f>
        <v>0.29649500000000001</v>
      </c>
      <c r="C23" s="10">
        <f>AVERAGE(C2:C21)</f>
        <v>0</v>
      </c>
    </row>
    <row r="24" spans="1:5" x14ac:dyDescent="0.45">
      <c r="A24" s="11" t="s">
        <v>10</v>
      </c>
      <c r="B24" s="10">
        <f>_xlfn.STDEV.P(B2:B21)</f>
        <v>0.54008628499064848</v>
      </c>
      <c r="C24" s="10">
        <f>_xlfn.STDEV.P(C2:C21)</f>
        <v>1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6DD-2B37-4E9A-8F9B-CC6A43FA447A}">
  <dimension ref="A1:F25"/>
  <sheetViews>
    <sheetView workbookViewId="0">
      <selection activeCell="C10" sqref="C10"/>
    </sheetView>
  </sheetViews>
  <sheetFormatPr defaultRowHeight="18.7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>
        <v>-0.60206999999999999</v>
      </c>
      <c r="B2">
        <f>(A2-$B$24)/$B$25</f>
        <v>-1.6637434146574535</v>
      </c>
      <c r="C2">
        <v>0</v>
      </c>
      <c r="D2">
        <v>0</v>
      </c>
      <c r="E2" t="s">
        <v>4</v>
      </c>
      <c r="F2">
        <v>0.1</v>
      </c>
    </row>
    <row r="3" spans="1:6" x14ac:dyDescent="0.45">
      <c r="A3">
        <v>-0.85543000000000002</v>
      </c>
      <c r="B3">
        <f>(A3-$B$24)/$B$25</f>
        <v>-2.1328536421174729</v>
      </c>
      <c r="C3">
        <f>MAX(0,C2+B3-$F$2)</f>
        <v>0</v>
      </c>
      <c r="D3">
        <f>MAX(0,D2-B3-$F$2)</f>
        <v>2.0328536421174728</v>
      </c>
    </row>
    <row r="4" spans="1:6" x14ac:dyDescent="0.45">
      <c r="A4">
        <v>0.40839999999999999</v>
      </c>
      <c r="B4">
        <f>(A4-$B$24)/$B$25</f>
        <v>0.2071983738708299</v>
      </c>
      <c r="C4">
        <f>MAX(0,C3+B4-$F$2)</f>
        <v>0.10719837387082989</v>
      </c>
      <c r="D4">
        <f t="shared" ref="D4:D21" si="0">MAX(0,D3-B4-$F$2)</f>
        <v>1.7256552682466428</v>
      </c>
    </row>
    <row r="5" spans="1:6" x14ac:dyDescent="0.45">
      <c r="A5">
        <v>0.60292000000000001</v>
      </c>
      <c r="B5">
        <f>(A5-$B$24)/$B$25</f>
        <v>0.56736304645341196</v>
      </c>
      <c r="C5">
        <f>MAX(0,C4+B5-$F$2)</f>
        <v>0.57456142032424184</v>
      </c>
      <c r="D5">
        <f t="shared" si="0"/>
        <v>1.0582922217932307</v>
      </c>
    </row>
    <row r="6" spans="1:6" x14ac:dyDescent="0.45">
      <c r="A6">
        <v>0.14554</v>
      </c>
      <c r="B6">
        <f>(A6-$B$24)/$B$25</f>
        <v>-0.279501635562943</v>
      </c>
      <c r="C6">
        <f>MAX(0,C5+B6-$F$2)</f>
        <v>0.19505978476129884</v>
      </c>
      <c r="D6">
        <f t="shared" si="0"/>
        <v>1.2377938573561735</v>
      </c>
    </row>
    <row r="7" spans="1:6" x14ac:dyDescent="0.45">
      <c r="A7">
        <v>-0.11812</v>
      </c>
      <c r="B7">
        <f>(A7-$B$24)/$B$25</f>
        <v>-0.76768288979450572</v>
      </c>
      <c r="C7">
        <f>MAX(0,C6+B7-$F$2)</f>
        <v>0</v>
      </c>
      <c r="D7">
        <f t="shared" si="0"/>
        <v>1.9054767471506793</v>
      </c>
    </row>
    <row r="8" spans="1:6" x14ac:dyDescent="0.45">
      <c r="A8">
        <v>-0.22425</v>
      </c>
      <c r="B8">
        <f>(A8-$B$24)/$B$25</f>
        <v>-0.96418852778129083</v>
      </c>
      <c r="C8">
        <f>MAX(0,C7+B8-$F$2)</f>
        <v>0</v>
      </c>
      <c r="D8">
        <f t="shared" si="0"/>
        <v>2.7696652749319699</v>
      </c>
    </row>
    <row r="9" spans="1:6" x14ac:dyDescent="0.45">
      <c r="A9">
        <v>-0.25985000000000003</v>
      </c>
      <c r="B9">
        <f>(A9-$B$24)/$B$25</f>
        <v>-1.0301039212829357</v>
      </c>
      <c r="C9">
        <f>MAX(0,C8+B9-$F$2)</f>
        <v>0</v>
      </c>
      <c r="D9">
        <f t="shared" si="0"/>
        <v>3.6997691962149055</v>
      </c>
    </row>
    <row r="10" spans="1:6" x14ac:dyDescent="0.45">
      <c r="A10">
        <v>-0.26579000000000003</v>
      </c>
      <c r="B10">
        <f>(A10-$B$24)/$B$25</f>
        <v>-1.0411021639065245</v>
      </c>
      <c r="C10">
        <f>MAX(0,C9+B10-$F$2)</f>
        <v>0</v>
      </c>
      <c r="D10">
        <f t="shared" si="0"/>
        <v>4.6408713601214302</v>
      </c>
    </row>
    <row r="11" spans="1:6" x14ac:dyDescent="0.45">
      <c r="A11">
        <v>0.70213000000000003</v>
      </c>
      <c r="B11">
        <f>(A11-$B$24)/$B$25</f>
        <v>0.75105591693931562</v>
      </c>
      <c r="C11">
        <f>MAX(0,C10+B11-$F$2)</f>
        <v>0.65105591693931564</v>
      </c>
      <c r="D11">
        <f t="shared" si="0"/>
        <v>3.7898154431821145</v>
      </c>
    </row>
    <row r="12" spans="1:6" x14ac:dyDescent="0.45">
      <c r="A12">
        <v>0.32766000000000001</v>
      </c>
      <c r="B12">
        <f>(A12-$B$24)/$B$25</f>
        <v>5.770374265389764E-2</v>
      </c>
      <c r="C12">
        <f>MAX(0,C11+B12-$F$2)</f>
        <v>0.60875965959321332</v>
      </c>
      <c r="D12">
        <f t="shared" si="0"/>
        <v>3.6321117005282169</v>
      </c>
    </row>
    <row r="13" spans="1:6" x14ac:dyDescent="0.45">
      <c r="A13">
        <v>0.55666000000000004</v>
      </c>
      <c r="B13">
        <f>(A13-$B$24)/$B$25</f>
        <v>0.48171006602121874</v>
      </c>
      <c r="C13">
        <f>MAX(0,C12+B13-$F$2)</f>
        <v>0.99046972561443203</v>
      </c>
      <c r="D13">
        <f t="shared" si="0"/>
        <v>3.050401634506998</v>
      </c>
    </row>
    <row r="14" spans="1:6" x14ac:dyDescent="0.45">
      <c r="A14">
        <v>0.50527999999999995</v>
      </c>
      <c r="B14">
        <f>(A14-$B$24)/$B$25</f>
        <v>0.3865771188831707</v>
      </c>
      <c r="C14">
        <f>MAX(0,C13+B14-$F$2)</f>
        <v>1.2770468444976026</v>
      </c>
      <c r="D14">
        <f t="shared" si="0"/>
        <v>2.5638245156238271</v>
      </c>
    </row>
    <row r="15" spans="1:6" x14ac:dyDescent="0.45">
      <c r="A15">
        <v>0.62256</v>
      </c>
      <c r="B15">
        <f>(A15-$B$24)/$B$25</f>
        <v>0.60372760623915078</v>
      </c>
      <c r="C15">
        <f>MAX(0,C14+B15-$F$2)</f>
        <v>1.7807744507367533</v>
      </c>
      <c r="D15">
        <f t="shared" si="0"/>
        <v>1.8600969093846762</v>
      </c>
    </row>
    <row r="16" spans="1:6" x14ac:dyDescent="0.45">
      <c r="A16">
        <v>0.21262</v>
      </c>
      <c r="B16">
        <f>(A16-$B$24)/$B$25</f>
        <v>-0.15529925926827098</v>
      </c>
      <c r="C16">
        <f>MAX(0,C15+B16-$F$2)</f>
        <v>1.5254751914684823</v>
      </c>
      <c r="D16">
        <f t="shared" si="0"/>
        <v>1.915396168652947</v>
      </c>
    </row>
    <row r="17" spans="1:4" x14ac:dyDescent="0.45">
      <c r="A17">
        <v>0.36576999999999998</v>
      </c>
      <c r="B17">
        <f>(A17-$B$24)/$B$25</f>
        <v>0.12826654170860766</v>
      </c>
      <c r="C17">
        <f>MAX(0,C16+B17-$F$2)</f>
        <v>1.55374173317709</v>
      </c>
      <c r="D17">
        <f t="shared" si="0"/>
        <v>1.6871296269443392</v>
      </c>
    </row>
    <row r="18" spans="1:4" x14ac:dyDescent="0.45">
      <c r="A18">
        <v>0.85272999999999999</v>
      </c>
      <c r="B18">
        <f>(A18-$B$24)/$B$25</f>
        <v>1.0299002501232395</v>
      </c>
      <c r="C18">
        <f>MAX(0,C17+B18-$F$2)</f>
        <v>2.4836419833003291</v>
      </c>
      <c r="D18">
        <f t="shared" si="0"/>
        <v>0.55722937682109974</v>
      </c>
    </row>
    <row r="19" spans="1:4" x14ac:dyDescent="0.45">
      <c r="A19">
        <v>1.0159</v>
      </c>
      <c r="B19">
        <f>(A19-$B$24)/$B$25</f>
        <v>1.3320186421924349</v>
      </c>
      <c r="C19">
        <f>MAX(0,C18+B19-$F$2)</f>
        <v>3.715660625492764</v>
      </c>
      <c r="D19">
        <f t="shared" si="0"/>
        <v>0</v>
      </c>
    </row>
    <row r="20" spans="1:4" x14ac:dyDescent="0.45">
      <c r="A20">
        <v>0.53493999999999997</v>
      </c>
      <c r="B20">
        <f>(A20-$B$24)/$B$25</f>
        <v>0.44149426976122641</v>
      </c>
      <c r="C20">
        <f>MAX(0,C19+B20-$F$2)</f>
        <v>4.0571548952539906</v>
      </c>
      <c r="D20">
        <f t="shared" si="0"/>
        <v>0</v>
      </c>
    </row>
    <row r="21" spans="1:4" x14ac:dyDescent="0.45">
      <c r="A21">
        <v>1.4023000000000001</v>
      </c>
      <c r="B21">
        <f>(A21-$B$24)/$B$25</f>
        <v>2.0474598795248928</v>
      </c>
      <c r="C21">
        <f>MAX(0,C20+B21-$F$2)</f>
        <v>6.0046147747788838</v>
      </c>
      <c r="D21">
        <f t="shared" si="0"/>
        <v>0</v>
      </c>
    </row>
    <row r="24" spans="1:4" x14ac:dyDescent="0.45">
      <c r="A24" t="s">
        <v>5</v>
      </c>
      <c r="B24">
        <f>AVERAGE(A2:A21)</f>
        <v>0.29649500000000001</v>
      </c>
    </row>
    <row r="25" spans="1:4" x14ac:dyDescent="0.45">
      <c r="A25" t="s">
        <v>6</v>
      </c>
      <c r="B25">
        <f>_xlfn.STDEV.P(A2:A21)</f>
        <v>0.54008628499064848</v>
      </c>
    </row>
  </sheetData>
  <autoFilter ref="A1:D1" xr:uid="{8E8FEDD8-472A-46D0-8319-7430BDD1C84E}"/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1617-2A89-442F-A719-8C1AB1D22986}">
  <dimension ref="A1:D21"/>
  <sheetViews>
    <sheetView workbookViewId="0">
      <selection activeCell="D5" sqref="D5"/>
    </sheetView>
  </sheetViews>
  <sheetFormatPr defaultRowHeight="18.7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-0.60206999999999999</v>
      </c>
      <c r="B2">
        <v>-1.2040999999999999</v>
      </c>
      <c r="C2">
        <v>0</v>
      </c>
      <c r="D2">
        <v>0</v>
      </c>
    </row>
    <row r="3" spans="1:4" x14ac:dyDescent="0.45">
      <c r="A3">
        <v>-0.85543000000000002</v>
      </c>
      <c r="B3">
        <v>-1.7109000000000001</v>
      </c>
      <c r="C3">
        <v>0</v>
      </c>
      <c r="D3">
        <v>1.2109000000000001</v>
      </c>
    </row>
    <row r="4" spans="1:4" x14ac:dyDescent="0.45">
      <c r="A4">
        <v>0.40839999999999999</v>
      </c>
      <c r="B4">
        <v>0.81679999999999997</v>
      </c>
      <c r="C4">
        <v>0.31680000000000003</v>
      </c>
      <c r="D4">
        <v>0</v>
      </c>
    </row>
    <row r="5" spans="1:4" x14ac:dyDescent="0.45">
      <c r="A5">
        <v>0.60292000000000001</v>
      </c>
      <c r="B5">
        <v>1.2058</v>
      </c>
      <c r="C5">
        <v>1.0226</v>
      </c>
      <c r="D5">
        <v>0</v>
      </c>
    </row>
    <row r="6" spans="1:4" x14ac:dyDescent="0.45">
      <c r="A6">
        <v>0.14554</v>
      </c>
      <c r="B6">
        <v>0.29107</v>
      </c>
      <c r="C6">
        <v>0.81371000000000004</v>
      </c>
      <c r="D6">
        <v>0</v>
      </c>
    </row>
    <row r="7" spans="1:4" x14ac:dyDescent="0.45">
      <c r="A7">
        <v>-0.11812</v>
      </c>
      <c r="B7">
        <v>-0.23624999999999999</v>
      </c>
      <c r="C7">
        <v>7.7456999999999998E-2</v>
      </c>
      <c r="D7">
        <v>0</v>
      </c>
    </row>
    <row r="8" spans="1:4" x14ac:dyDescent="0.45">
      <c r="A8">
        <v>-0.22425</v>
      </c>
      <c r="B8">
        <v>-0.44851000000000002</v>
      </c>
      <c r="C8">
        <v>0</v>
      </c>
      <c r="D8">
        <v>0</v>
      </c>
    </row>
    <row r="9" spans="1:4" x14ac:dyDescent="0.45">
      <c r="A9">
        <v>-0.25985000000000003</v>
      </c>
      <c r="B9">
        <v>-0.51970000000000005</v>
      </c>
      <c r="C9">
        <v>0</v>
      </c>
      <c r="D9">
        <v>1.9695000000000001E-2</v>
      </c>
    </row>
    <row r="10" spans="1:4" x14ac:dyDescent="0.45">
      <c r="A10">
        <v>-0.26579000000000003</v>
      </c>
      <c r="B10">
        <v>-0.53158000000000005</v>
      </c>
      <c r="C10">
        <v>0</v>
      </c>
      <c r="D10">
        <v>5.1276000000000002E-2</v>
      </c>
    </row>
    <row r="11" spans="1:4" x14ac:dyDescent="0.45">
      <c r="A11">
        <v>0.70213000000000003</v>
      </c>
      <c r="B11">
        <v>1.4043000000000001</v>
      </c>
      <c r="C11">
        <v>0.90425999999999995</v>
      </c>
      <c r="D11">
        <v>0</v>
      </c>
    </row>
    <row r="12" spans="1:4" x14ac:dyDescent="0.45">
      <c r="A12">
        <v>0.32766000000000001</v>
      </c>
      <c r="B12">
        <v>0.65532000000000001</v>
      </c>
      <c r="C12">
        <v>1.0596000000000001</v>
      </c>
      <c r="D12">
        <v>0</v>
      </c>
    </row>
    <row r="13" spans="1:4" x14ac:dyDescent="0.45">
      <c r="A13">
        <v>1.6729000000000001</v>
      </c>
      <c r="B13">
        <v>0</v>
      </c>
      <c r="C13">
        <v>0.55666000000000004</v>
      </c>
      <c r="D13">
        <v>1.1133</v>
      </c>
    </row>
    <row r="14" spans="1:4" x14ac:dyDescent="0.45">
      <c r="A14">
        <v>2.1835</v>
      </c>
      <c r="B14">
        <v>0</v>
      </c>
      <c r="C14">
        <v>0.50527999999999995</v>
      </c>
      <c r="D14">
        <v>1.0105999999999999</v>
      </c>
    </row>
    <row r="15" spans="1:4" x14ac:dyDescent="0.45">
      <c r="A15">
        <v>2.9285999999999999</v>
      </c>
      <c r="B15">
        <v>0</v>
      </c>
      <c r="C15">
        <v>0.62256</v>
      </c>
      <c r="D15">
        <v>1.2451000000000001</v>
      </c>
    </row>
    <row r="16" spans="1:4" x14ac:dyDescent="0.45">
      <c r="A16">
        <v>0.42524000000000001</v>
      </c>
      <c r="B16">
        <v>2.8538000000000001</v>
      </c>
      <c r="C16">
        <v>0</v>
      </c>
      <c r="D16">
        <v>0.21262</v>
      </c>
    </row>
    <row r="17" spans="1:4" x14ac:dyDescent="0.45">
      <c r="A17">
        <v>0.73153000000000001</v>
      </c>
      <c r="B17">
        <v>3.0853999999999999</v>
      </c>
      <c r="C17">
        <v>0</v>
      </c>
      <c r="D17">
        <v>0.36576999999999998</v>
      </c>
    </row>
    <row r="18" spans="1:4" x14ac:dyDescent="0.45">
      <c r="A18">
        <v>1.7055</v>
      </c>
      <c r="B18">
        <v>4.2907999999999999</v>
      </c>
      <c r="C18">
        <v>0</v>
      </c>
      <c r="D18">
        <v>0.85272999999999999</v>
      </c>
    </row>
    <row r="19" spans="1:4" x14ac:dyDescent="0.45">
      <c r="A19">
        <v>2.0318000000000001</v>
      </c>
      <c r="B19">
        <v>5.8226000000000004</v>
      </c>
      <c r="C19">
        <v>0</v>
      </c>
      <c r="D19">
        <v>1.0159</v>
      </c>
    </row>
    <row r="20" spans="1:4" x14ac:dyDescent="0.45">
      <c r="A20">
        <v>1.0699000000000001</v>
      </c>
      <c r="B20">
        <v>6.3925000000000001</v>
      </c>
      <c r="C20">
        <v>0</v>
      </c>
      <c r="D20">
        <v>1.4023000000000001</v>
      </c>
    </row>
    <row r="21" spans="1:4" x14ac:dyDescent="0.45">
      <c r="A21">
        <v>0.53493999999999997</v>
      </c>
      <c r="B21">
        <v>2.8045</v>
      </c>
      <c r="C21">
        <v>8.6969999999999992</v>
      </c>
    </row>
  </sheetData>
  <autoFilter ref="A1:D1" xr:uid="{8E8FEDD8-472A-46D0-8319-7430BDD1C84E}"/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EDD8-472A-46D0-8319-7430BDD1C84E}">
  <dimension ref="A1:H37"/>
  <sheetViews>
    <sheetView showGridLines="0" tabSelected="1" workbookViewId="0">
      <selection activeCell="I27" sqref="I27"/>
    </sheetView>
  </sheetViews>
  <sheetFormatPr defaultRowHeight="18.75" x14ac:dyDescent="0.45"/>
  <cols>
    <col min="2" max="2" width="16.5546875" customWidth="1"/>
    <col min="3" max="3" width="14.6640625" bestFit="1" customWidth="1"/>
    <col min="4" max="4" width="20.5546875" bestFit="1" customWidth="1"/>
    <col min="5" max="5" width="14" customWidth="1"/>
    <col min="6" max="6" width="1" customWidth="1"/>
    <col min="7" max="7" width="15.77734375" customWidth="1"/>
    <col min="8" max="8" width="9.21875" customWidth="1"/>
    <col min="9" max="10" width="17.44140625" customWidth="1"/>
  </cols>
  <sheetData>
    <row r="1" spans="1:8" x14ac:dyDescent="0.45">
      <c r="A1" t="s">
        <v>15</v>
      </c>
    </row>
    <row r="3" spans="1:8" x14ac:dyDescent="0.45">
      <c r="B3" s="4" t="s">
        <v>0</v>
      </c>
      <c r="C3" s="4" t="s">
        <v>12</v>
      </c>
      <c r="D3" s="4" t="s">
        <v>11</v>
      </c>
      <c r="E3" s="4" t="s">
        <v>13</v>
      </c>
      <c r="F3" s="15" t="str">
        <f>G4</f>
        <v>閾値 h</v>
      </c>
      <c r="G3" s="5" t="s">
        <v>14</v>
      </c>
      <c r="H3" s="5">
        <v>0.5</v>
      </c>
    </row>
    <row r="4" spans="1:8" x14ac:dyDescent="0.45">
      <c r="B4">
        <v>-0.60206999999999999</v>
      </c>
      <c r="C4" s="12">
        <f>(B4-X_ave)/X_stdev_p</f>
        <v>-1.6637434146574535</v>
      </c>
      <c r="D4" s="12">
        <v>0</v>
      </c>
      <c r="E4" s="13" t="str">
        <f>IF(D4&gt;h, "異常","")</f>
        <v/>
      </c>
      <c r="F4" s="16">
        <f>$H$4</f>
        <v>2</v>
      </c>
      <c r="G4" s="6" t="s">
        <v>8</v>
      </c>
      <c r="H4" s="6">
        <v>2</v>
      </c>
    </row>
    <row r="5" spans="1:8" x14ac:dyDescent="0.45">
      <c r="B5">
        <v>-0.85543000000000002</v>
      </c>
      <c r="C5" s="12">
        <f>(B5-X_ave)/X_stdev_p</f>
        <v>-2.1328536421174729</v>
      </c>
      <c r="D5" s="12">
        <f>MAX(0, D4 + C5 - k)</f>
        <v>0</v>
      </c>
      <c r="E5" s="13" t="str">
        <f>IF(D5&gt;h, "異常","")</f>
        <v/>
      </c>
      <c r="F5" s="16">
        <f t="shared" ref="F5:F23" si="0">$H$4</f>
        <v>2</v>
      </c>
    </row>
    <row r="6" spans="1:8" x14ac:dyDescent="0.45">
      <c r="B6">
        <v>0.40839999999999999</v>
      </c>
      <c r="C6" s="12">
        <f>(B6-X_ave)/X_stdev_p</f>
        <v>0.2071983738708299</v>
      </c>
      <c r="D6" s="12">
        <f>MAX(0, D5 + C6 - k)</f>
        <v>0</v>
      </c>
      <c r="E6" s="13" t="str">
        <f>IF(D6&gt;h, "異常","")</f>
        <v/>
      </c>
      <c r="F6" s="16">
        <f t="shared" si="0"/>
        <v>2</v>
      </c>
    </row>
    <row r="7" spans="1:8" x14ac:dyDescent="0.45">
      <c r="B7">
        <v>0.60292000000000001</v>
      </c>
      <c r="C7" s="12">
        <f>(B7-X_ave)/X_stdev_p</f>
        <v>0.56736304645341196</v>
      </c>
      <c r="D7" s="12">
        <f>MAX(0, D6 + C7 - k)</f>
        <v>6.7363046453411957E-2</v>
      </c>
      <c r="E7" s="13" t="str">
        <f>IF(D7&gt;h, "異常","")</f>
        <v/>
      </c>
      <c r="F7" s="16">
        <f t="shared" si="0"/>
        <v>2</v>
      </c>
    </row>
    <row r="8" spans="1:8" x14ac:dyDescent="0.45">
      <c r="B8">
        <v>0.14554</v>
      </c>
      <c r="C8" s="12">
        <f>(B8-X_ave)/X_stdev_p</f>
        <v>-0.279501635562943</v>
      </c>
      <c r="D8" s="12">
        <f>MAX(0, D7 + C8 - k)</f>
        <v>0</v>
      </c>
      <c r="E8" s="13" t="str">
        <f>IF(D8&gt;h, "異常","")</f>
        <v/>
      </c>
      <c r="F8" s="16">
        <f t="shared" si="0"/>
        <v>2</v>
      </c>
    </row>
    <row r="9" spans="1:8" x14ac:dyDescent="0.45">
      <c r="B9">
        <v>-0.11812</v>
      </c>
      <c r="C9" s="12">
        <f>(B9-X_ave)/X_stdev_p</f>
        <v>-0.76768288979450572</v>
      </c>
      <c r="D9" s="12">
        <f>MAX(0, D8 + C9 - k)</f>
        <v>0</v>
      </c>
      <c r="E9" s="13" t="str">
        <f>IF(D9&gt;h, "異常","")</f>
        <v/>
      </c>
      <c r="F9" s="16">
        <f t="shared" si="0"/>
        <v>2</v>
      </c>
    </row>
    <row r="10" spans="1:8" x14ac:dyDescent="0.45">
      <c r="B10">
        <v>-0.22425</v>
      </c>
      <c r="C10" s="12">
        <f>(B10-X_ave)/X_stdev_p</f>
        <v>-0.96418852778129083</v>
      </c>
      <c r="D10" s="12">
        <f>MAX(0, D9 + C10 - k)</f>
        <v>0</v>
      </c>
      <c r="E10" s="13" t="str">
        <f>IF(D10&gt;h, "異常","")</f>
        <v/>
      </c>
      <c r="F10" s="16">
        <f t="shared" si="0"/>
        <v>2</v>
      </c>
    </row>
    <row r="11" spans="1:8" x14ac:dyDescent="0.45">
      <c r="B11">
        <v>-0.25985000000000003</v>
      </c>
      <c r="C11" s="12">
        <f>(B11-X_ave)/X_stdev_p</f>
        <v>-1.0301039212829357</v>
      </c>
      <c r="D11" s="12">
        <f>MAX(0, D10 + C11 - k)</f>
        <v>0</v>
      </c>
      <c r="E11" s="13" t="str">
        <f>IF(D11&gt;h, "異常","")</f>
        <v/>
      </c>
      <c r="F11" s="16">
        <f t="shared" si="0"/>
        <v>2</v>
      </c>
    </row>
    <row r="12" spans="1:8" x14ac:dyDescent="0.45">
      <c r="B12">
        <v>-0.26579000000000003</v>
      </c>
      <c r="C12" s="12">
        <f>(B12-X_ave)/X_stdev_p</f>
        <v>-1.0411021639065245</v>
      </c>
      <c r="D12" s="12">
        <f>MAX(0, D11 + C12 - k)</f>
        <v>0</v>
      </c>
      <c r="E12" s="13" t="str">
        <f>IF(D12&gt;h, "異常","")</f>
        <v/>
      </c>
      <c r="F12" s="16">
        <f t="shared" si="0"/>
        <v>2</v>
      </c>
    </row>
    <row r="13" spans="1:8" x14ac:dyDescent="0.45">
      <c r="B13">
        <v>0.70213000000000003</v>
      </c>
      <c r="C13" s="12">
        <f>(B13-X_ave)/X_stdev_p</f>
        <v>0.75105591693931562</v>
      </c>
      <c r="D13" s="12">
        <f>MAX(0, D12 + C13 - k)</f>
        <v>0.25105591693931562</v>
      </c>
      <c r="E13" s="13" t="str">
        <f>IF(D13&gt;h, "異常","")</f>
        <v/>
      </c>
      <c r="F13" s="16">
        <f t="shared" si="0"/>
        <v>2</v>
      </c>
    </row>
    <row r="14" spans="1:8" x14ac:dyDescent="0.45">
      <c r="B14">
        <v>0.32766000000000001</v>
      </c>
      <c r="C14" s="12">
        <f>(B14-X_ave)/X_stdev_p</f>
        <v>5.770374265389764E-2</v>
      </c>
      <c r="D14" s="12">
        <f>MAX(0, D13 + C14 - k)</f>
        <v>0</v>
      </c>
      <c r="E14" s="13" t="str">
        <f>IF(D14&gt;h, "異常","")</f>
        <v/>
      </c>
      <c r="F14" s="16">
        <f t="shared" si="0"/>
        <v>2</v>
      </c>
    </row>
    <row r="15" spans="1:8" x14ac:dyDescent="0.45">
      <c r="B15">
        <v>0.55666000000000004</v>
      </c>
      <c r="C15" s="12">
        <f>(B15-X_ave)/X_stdev_p</f>
        <v>0.48171006602121874</v>
      </c>
      <c r="D15" s="12">
        <f>MAX(0, D14 + C15 - k)</f>
        <v>0</v>
      </c>
      <c r="E15" s="13" t="str">
        <f>IF(D15&gt;h, "異常","")</f>
        <v/>
      </c>
      <c r="F15" s="16">
        <f t="shared" si="0"/>
        <v>2</v>
      </c>
    </row>
    <row r="16" spans="1:8" x14ac:dyDescent="0.45">
      <c r="B16">
        <v>0.50527999999999995</v>
      </c>
      <c r="C16" s="12">
        <f>(B16-X_ave)/X_stdev_p</f>
        <v>0.3865771188831707</v>
      </c>
      <c r="D16" s="12">
        <f>MAX(0, D15 + C16 - k)</f>
        <v>0</v>
      </c>
      <c r="E16" s="13" t="str">
        <f>IF(D16&gt;h, "異常","")</f>
        <v/>
      </c>
      <c r="F16" s="16">
        <f t="shared" si="0"/>
        <v>2</v>
      </c>
    </row>
    <row r="17" spans="1:6" x14ac:dyDescent="0.45">
      <c r="B17">
        <v>0.62256</v>
      </c>
      <c r="C17" s="12">
        <f>(B17-X_ave)/X_stdev_p</f>
        <v>0.60372760623915078</v>
      </c>
      <c r="D17" s="12">
        <f>MAX(0, D16 + C17 - k)</f>
        <v>0.10372760623915078</v>
      </c>
      <c r="E17" s="13" t="str">
        <f>IF(D17&gt;h, "異常","")</f>
        <v/>
      </c>
      <c r="F17" s="16">
        <f t="shared" si="0"/>
        <v>2</v>
      </c>
    </row>
    <row r="18" spans="1:6" x14ac:dyDescent="0.45">
      <c r="B18">
        <v>0.21262</v>
      </c>
      <c r="C18" s="12">
        <f>(B18-X_ave)/X_stdev_p</f>
        <v>-0.15529925926827098</v>
      </c>
      <c r="D18" s="12">
        <f>MAX(0, D17 + C18 - k)</f>
        <v>0</v>
      </c>
      <c r="E18" s="13" t="str">
        <f>IF(D18&gt;h, "異常","")</f>
        <v/>
      </c>
      <c r="F18" s="16">
        <f t="shared" si="0"/>
        <v>2</v>
      </c>
    </row>
    <row r="19" spans="1:6" x14ac:dyDescent="0.45">
      <c r="B19">
        <v>0.36576999999999998</v>
      </c>
      <c r="C19" s="12">
        <f>(B19-X_ave)/X_stdev_p</f>
        <v>0.12826654170860766</v>
      </c>
      <c r="D19" s="12">
        <f>MAX(0, D18 + C19 - k)</f>
        <v>0</v>
      </c>
      <c r="E19" s="13" t="str">
        <f>IF(D19&gt;h, "異常","")</f>
        <v/>
      </c>
      <c r="F19" s="16">
        <f t="shared" si="0"/>
        <v>2</v>
      </c>
    </row>
    <row r="20" spans="1:6" x14ac:dyDescent="0.45">
      <c r="B20">
        <v>0.85272999999999999</v>
      </c>
      <c r="C20" s="12">
        <f>(B20-X_ave)/X_stdev_p</f>
        <v>1.0299002501232395</v>
      </c>
      <c r="D20" s="12">
        <f>MAX(0, D19 + C20 - k)</f>
        <v>0.52990025012323949</v>
      </c>
      <c r="E20" s="13" t="str">
        <f>IF(D20&gt;h, "異常","")</f>
        <v/>
      </c>
      <c r="F20" s="16">
        <f t="shared" si="0"/>
        <v>2</v>
      </c>
    </row>
    <row r="21" spans="1:6" x14ac:dyDescent="0.45">
      <c r="B21">
        <v>1.0159</v>
      </c>
      <c r="C21" s="12">
        <f>(B21-X_ave)/X_stdev_p</f>
        <v>1.3320186421924349</v>
      </c>
      <c r="D21" s="12">
        <f>MAX(0, D20 + C21 - k)</f>
        <v>1.3619188923156744</v>
      </c>
      <c r="E21" s="13" t="str">
        <f>IF(D21&gt;h, "異常","")</f>
        <v/>
      </c>
      <c r="F21" s="16">
        <f t="shared" si="0"/>
        <v>2</v>
      </c>
    </row>
    <row r="22" spans="1:6" x14ac:dyDescent="0.45">
      <c r="B22">
        <v>0.53493999999999997</v>
      </c>
      <c r="C22" s="12">
        <f>(B22-X_ave)/X_stdev_p</f>
        <v>0.44149426976122641</v>
      </c>
      <c r="D22" s="12">
        <f>MAX(0, D21 + C22 - k)</f>
        <v>1.3034131620769007</v>
      </c>
      <c r="E22" s="13" t="str">
        <f>IF(D22&gt;h, "異常","")</f>
        <v/>
      </c>
      <c r="F22" s="16">
        <f t="shared" si="0"/>
        <v>2</v>
      </c>
    </row>
    <row r="23" spans="1:6" x14ac:dyDescent="0.45">
      <c r="B23">
        <v>1.4023000000000001</v>
      </c>
      <c r="C23" s="12">
        <f>(B23-X_ave)/X_stdev_p</f>
        <v>2.0474598795248928</v>
      </c>
      <c r="D23" s="12">
        <f>MAX(0, D22 + C23 - k)</f>
        <v>2.8508730416017936</v>
      </c>
      <c r="E23" s="13" t="str">
        <f>IF(D23&gt;h, "異常","")</f>
        <v>異常</v>
      </c>
      <c r="F23" s="16">
        <f t="shared" si="0"/>
        <v>2</v>
      </c>
    </row>
    <row r="25" spans="1:6" x14ac:dyDescent="0.45">
      <c r="A25" s="9" t="s">
        <v>9</v>
      </c>
      <c r="B25" s="14">
        <f>AVERAGE(B4:B23)</f>
        <v>0.29649500000000001</v>
      </c>
      <c r="C25" s="14">
        <f>AVERAGE(C4:C23)</f>
        <v>0</v>
      </c>
    </row>
    <row r="26" spans="1:6" x14ac:dyDescent="0.45">
      <c r="A26" s="11" t="s">
        <v>10</v>
      </c>
      <c r="B26" s="14">
        <f>_xlfn.STDEV.P(B4:B23)</f>
        <v>0.54008628499064848</v>
      </c>
      <c r="C26" s="14">
        <f>_xlfn.STDEV.P(C4:C23)</f>
        <v>1</v>
      </c>
    </row>
    <row r="37" spans="1:2" x14ac:dyDescent="0.45">
      <c r="A37" s="18" t="s">
        <v>16</v>
      </c>
      <c r="B37" s="17" t="s">
        <v>17</v>
      </c>
    </row>
  </sheetData>
  <phoneticPr fontId="1"/>
  <conditionalFormatting sqref="D4:D23">
    <cfRule type="cellIs" dxfId="1" priority="2" operator="greaterThan">
      <formula>0</formula>
    </cfRule>
  </conditionalFormatting>
  <conditionalFormatting sqref="E4:E23">
    <cfRule type="cellIs" dxfId="0" priority="1" operator="equal">
      <formula>"異常"</formula>
    </cfRule>
  </conditionalFormatting>
  <hyperlinks>
    <hyperlink ref="B37" r:id="rId1" xr:uid="{D68CD2BB-693D-457B-9A01-97934E554FCD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Sheet1 (4)</vt:lpstr>
      <vt:lpstr>Sheet1 (3)</vt:lpstr>
      <vt:lpstr>Sheet1 (2)</vt:lpstr>
      <vt:lpstr>Sheet1</vt:lpstr>
      <vt:lpstr>'Sheet1 (4)'!h</vt:lpstr>
      <vt:lpstr>h</vt:lpstr>
      <vt:lpstr>'Sheet1 (4)'!k</vt:lpstr>
      <vt:lpstr>k</vt:lpstr>
      <vt:lpstr>'Sheet1 (4)'!X_ave</vt:lpstr>
      <vt:lpstr>X_ave</vt:lpstr>
      <vt:lpstr>'Sheet1 (4)'!X_stdev_p</vt:lpstr>
      <vt:lpstr>X_stdev_p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2026-05-05T02:13:05Z</dcterms:created>
  <dcterms:modified xsi:type="dcterms:W3CDTF">2026-05-05T02:25:57Z</dcterms:modified>
</cp:coreProperties>
</file>